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terLing\Box\02 - Shared\Data Processing Tool Dev\DataProcessingTool_Python\"/>
    </mc:Choice>
  </mc:AlternateContent>
  <xr:revisionPtr revIDLastSave="0" documentId="8_{8D27BD09-C621-47FE-8B47-79FCFFA31FFA}" xr6:coauthVersionLast="45" xr6:coauthVersionMax="45" xr10:uidLastSave="{00000000-0000-0000-0000-000000000000}"/>
  <bookViews>
    <workbookView xWindow="-108" yWindow="-108" windowWidth="23256" windowHeight="12576" tabRatio="803" xr2:uid="{65134634-29A0-4501-9F46-4200D5BA3A43}"/>
  </bookViews>
  <sheets>
    <sheet name="Summary" sheetId="54" r:id="rId1"/>
    <sheet name="Full_Data" sheetId="36" r:id="rId2"/>
    <sheet name="Graph_LeqLmaxL90" sheetId="46" r:id="rId3"/>
    <sheet name="Pivot_L90" sheetId="47" r:id="rId4"/>
    <sheet name="Pivot_Lmax" sheetId="48" r:id="rId5"/>
    <sheet name="Summary_Tables" sheetId="50" r:id="rId6"/>
    <sheet name="Leq_Spectral_Tables" sheetId="51" r:id="rId7"/>
    <sheet name="Lmax_Spectral_Tables" sheetId="55" r:id="rId8"/>
  </sheets>
  <functionGroups builtInGroupCount="19"/>
  <definedNames>
    <definedName name="_xlnm._FilterDatabase" localSheetId="1" hidden="1">Full_Data!$A$1:$DH$1693</definedName>
    <definedName name="DATA">OFFSET(Full_Data!$A$1,0,0,COUNTA(Full_Data!$A:$A),COUNTA(Full_Data!$1:$1))</definedName>
  </definedNames>
  <calcPr calcId="191029"/>
  <pivotCaches>
    <pivotCache cacheId="35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<sst xmlns="http://schemas.openxmlformats.org/spreadsheetml/2006/main" count="24" uniqueCount="18">
  <si>
    <t>Time</t>
  </si>
  <si>
    <t>Row Labels</t>
  </si>
  <si>
    <t>Grand Total</t>
  </si>
  <si>
    <t>(All)</t>
  </si>
  <si>
    <t>Count of LA90_Main</t>
  </si>
  <si>
    <t>Count of LAmax_Main</t>
  </si>
  <si>
    <t>Duration</t>
  </si>
  <si>
    <t>LAeq_Main</t>
  </si>
  <si>
    <t>LAE_Main</t>
  </si>
  <si>
    <t>LAmax_Main</t>
  </si>
  <si>
    <t>LAmin_Main</t>
  </si>
  <si>
    <t>LA10_Main</t>
  </si>
  <si>
    <t>LA50_Main</t>
  </si>
  <si>
    <t>LA90_Main</t>
  </si>
  <si>
    <t>0 days 00:05:00.000000000</t>
  </si>
  <si>
    <t>Address</t>
  </si>
  <si>
    <t>LA01_Main</t>
  </si>
  <si>
    <t>LA99.0_Main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</si>
</sst>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[$-F400]h:mm:ss\ AM/PM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2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3">
    <cellStyle name="Normal" xfId="0" builtinId="0"/>
    <cellStyle name="Normal 3" xfId="1" xr:uid="{00000000-0005-0000-0000-000001000000}"/>
    <cellStyle name="Normal 4" xfId="2" xr:uid="{00000000-0005-0000-0000-000002000000}"/>
  </cellStyles>
  <dxfs count="0"/>
  <tableStyles count="0" defaultTableStyle="TableStyleMedium2" defaultPivotStyle="PivotStyleLight16"/>
  <colors>
    <mruColors>
      <color rgb="FF441D61"/>
      <color rgb="FF672C94"/>
      <color rgb="FFC0C0C0"/>
      <color rgb="FFD6BBEB"/>
      <color rgb="FF55247A"/>
      <color rgb="FFB17ED8"/>
      <color rgb="FF5E19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50059145172327E-2"/>
          <c:y val="2.2199223170204795E-2"/>
          <c:w val="0.91103726422667453"/>
          <c:h val="0.739101762542044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Full_Data!$D$1</c:f>
              <c:strCache>
                <c:ptCount val="1"/>
                <c:pt idx="0">
                  <c:v>LAeq_Main</c:v>
                </c:pt>
              </c:strCache>
            </c:strRef>
          </c:tx>
          <c:spPr>
            <a:ln w="3175" cap="rnd">
              <a:solidFill>
                <a:srgbClr val="441D61"/>
              </a:solidFill>
              <a:round/>
            </a:ln>
            <a:effectLst/>
          </c:spPr>
          <c:marker>
            <c:symbol val="none"/>
          </c:marker>
          <c:xVal>
            <c:numRef>
              <c:f>Full_Data!$A$2:$A$3</c:f>
              <c:numCache>
                <c:formatCode>dd/mm/yyyy\ hh:mm:ss</c:formatCode>
                <c:ptCount val="2"/>
                <c:pt idx="0">
                  <c:v>43896.572916666664</c:v>
                </c:pt>
                <c:pt idx="1">
                  <c:v>43896.576388888891</c:v>
                </c:pt>
              </c:numCache>
            </c:numRef>
          </c:xVal>
          <c:yVal>
            <c:numRef>
              <c:f>Full_Data!$D$2:$D$3</c:f>
              <c:numCache>
                <c:formatCode>General</c:formatCode>
                <c:ptCount val="2"/>
                <c:pt idx="0">
                  <c:v>69.099999999999994</c:v>
                </c:pt>
                <c:pt idx="1">
                  <c:v>69.900000000000006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6-4998-B16B-0685160CBFB6}"/>
            </c:ext>
          </c:extLst>
        </c:ser>
        <c:ser>
          <c:idx val="1"/>
          <c:order val="1"/>
          <c:tx>
            <c:strRef>
              <c:f>Full_Data!$F$1</c:f>
              <c:strCache>
                <c:ptCount val="1"/>
                <c:pt idx="0">
                  <c:v>LAmax_Main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Full_Data!$A$2:$A$3</c:f>
              <c:numCache>
                <c:formatCode>dd/mm/yyyy\ hh:mm:ss</c:formatCode>
                <c:ptCount val="2"/>
                <c:pt idx="0">
                  <c:v>43896.572916666664</c:v>
                </c:pt>
                <c:pt idx="1">
                  <c:v>43896.576388888891</c:v>
                </c:pt>
              </c:numCache>
            </c:numRef>
          </c:xVal>
          <c:yVal>
            <c:numRef>
              <c:f>Full_Data!$F$2:$F$3</c:f>
              <c:numCache>
                <c:formatCode>General</c:formatCode>
                <c:ptCount val="2"/>
                <c:pt idx="0">
                  <c:v>78.8</c:v>
                </c:pt>
                <c:pt idx="1">
                  <c:v>79.2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E6-4998-B16B-0685160CBFB6}"/>
            </c:ext>
          </c:extLst>
        </c:ser>
        <c:ser>
          <c:idx val="2"/>
          <c:order val="2"/>
          <c:tx>
            <c:strRef>
              <c:f>Full_Data!$K$1</c:f>
              <c:strCache>
                <c:ptCount val="1"/>
                <c:pt idx="0">
                  <c:v>LA90_Main</c:v>
                </c:pt>
              </c:strCache>
            </c:strRef>
          </c:tx>
          <c:spPr>
            <a:ln w="31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Full_Data!$A$2:$A$3</c:f>
              <c:numCache>
                <c:formatCode>dd/mm/yyyy\ hh:mm:ss</c:formatCode>
                <c:ptCount val="2"/>
                <c:pt idx="0">
                  <c:v>43896.572916666664</c:v>
                </c:pt>
                <c:pt idx="1">
                  <c:v>43896.576388888891</c:v>
                </c:pt>
              </c:numCache>
            </c:numRef>
          </c:xVal>
          <c:yVal>
            <c:numRef>
              <c:f>Full_Data!$K$2:$K$3</c:f>
              <c:numCache>
                <c:formatCode>General</c:formatCode>
                <c:ptCount val="2"/>
                <c:pt idx="0">
                  <c:v>64.7</c:v>
                </c:pt>
                <c:pt idx="1">
                  <c:v>64.900000000000006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E6-4998-B16B-0685160C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067136"/>
        <c:axId val="1236069432"/>
      </c:scatterChart>
      <c:valAx>
        <c:axId val="123606713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Date and Measured Start Time</a:t>
                </a:r>
                <a:endParaRPr lang="en-GB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3082471530042249"/>
              <c:y val="0.903258423270379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d\ dd/mm/yyyy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069432"/>
        <c:crosses val="autoZero"/>
        <c:crossBetween val="midCat"/>
        <c:majorUnit val="1"/>
        <c:minorUnit val="0.25"/>
      </c:valAx>
      <c:valAx>
        <c:axId val="1236069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Measured Noise Level, dB</a:t>
                </a:r>
                <a:endParaRPr lang="en-GB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06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69E58C-238A-42B8-8373-E59B05F73FB8}">
  <sheetPr codeName="Chart2"/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38100</xdr:rowOff>
        </xdr:from>
        <xdr:to>
          <xdr:col>5</xdr:col>
          <xdr:colOff>542925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ter Ling" refreshedDate="44034.698280671299" createdVersion="6" refreshedVersion="6" minRefreshableVersion="3" recordCount="2" xr:uid="{99FC1E26-E4CE-4C3E-8DA9-17CA4ACF1113}">
  <cacheSource type="worksheet">
    <worksheetSource name="DATA"/>
  </cacheSource>
  <cacheFields count="12">
    <cacheField name="Time" numFmtId="22">
      <sharedItems containsSemiMixedTypes="0" containsNonDate="0" containsDate="1" containsString="0" minDate="2019-07-18T13:25:00" maxDate="2020-03-06T13:50:00" count="4">
        <d v="2020-03-06T13:45:00"/>
        <d v="2020-03-06T13:50:00"/>
        <d v="2019-07-18T13:25:00" u="1"/>
        <d v="2019-07-18T13:30:00" u="1"/>
      </sharedItems>
    </cacheField>
    <cacheField name="Address" numFmtId="0">
      <sharedItems containsSemiMixedTypes="0" containsString="0" containsNumber="1" containsInteger="1" minValue="2" maxValue="3"/>
    </cacheField>
    <cacheField name="Duration" numFmtId="0">
      <sharedItems/>
    </cacheField>
    <cacheField name="LAeq_Main" numFmtId="0">
      <sharedItems containsSemiMixedTypes="0" containsString="0" containsNumber="1" minValue="69.099999999999994" maxValue="69.900000000000006"/>
    </cacheField>
    <cacheField name="LAE_Main" numFmtId="0">
      <sharedItems containsSemiMixedTypes="0" containsString="0" containsNumber="1" minValue="93.9" maxValue="94.7"/>
    </cacheField>
    <cacheField name="LAmax_Main" numFmtId="0">
      <sharedItems containsSemiMixedTypes="0" containsString="0" containsNumber="1" minValue="61.7" maxValue="79.2" count="4">
        <n v="78.8"/>
        <n v="79.2"/>
        <n v="72.900000000000006" u="1"/>
        <n v="61.7" u="1"/>
      </sharedItems>
    </cacheField>
    <cacheField name="LAmin_Main" numFmtId="0">
      <sharedItems containsSemiMixedTypes="0" containsString="0" containsNumber="1" minValue="60.1" maxValue="62.5"/>
    </cacheField>
    <cacheField name="LA01_Main" numFmtId="0">
      <sharedItems containsSemiMixedTypes="0" containsString="0" containsNumber="1" minValue="74.8" maxValue="76.599999999999994"/>
    </cacheField>
    <cacheField name="LA10_Main" numFmtId="0">
      <sharedItems containsSemiMixedTypes="0" containsString="0" containsNumber="1" minValue="71.5" maxValue="72.400000000000006"/>
    </cacheField>
    <cacheField name="LA50_Main" numFmtId="0">
      <sharedItems containsSemiMixedTypes="0" containsString="0" containsNumber="1" minValue="68.2" maxValue="69"/>
    </cacheField>
    <cacheField name="LA90_Main" numFmtId="0">
      <sharedItems containsSemiMixedTypes="0" containsString="0" containsNumber="1" minValue="51.1" maxValue="64.900000000000006" count="4">
        <n v="64.7"/>
        <n v="64.900000000000006"/>
        <n v="53.2" u="1"/>
        <n v="51.1" u="1"/>
      </sharedItems>
    </cacheField>
    <cacheField name="LA99.0_Main" numFmtId="0">
      <sharedItems containsSemiMixedTypes="0" containsString="0" containsNumber="1" minValue="61.5" maxValue="63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"/>
    <s v="0 days 00:05:00.000000000"/>
    <n v="69.099999999999994"/>
    <n v="93.9"/>
    <x v="0"/>
    <n v="60.1"/>
    <n v="74.8"/>
    <n v="71.5"/>
    <n v="68.2"/>
    <x v="0"/>
    <n v="61.5"/>
  </r>
  <r>
    <x v="1"/>
    <n v="3"/>
    <s v="0 days 00:05:00.000000000"/>
    <n v="69.900000000000006"/>
    <n v="94.7"/>
    <x v="1"/>
    <n v="62.5"/>
    <n v="76.599999999999994"/>
    <n v="72.400000000000006"/>
    <n v="69"/>
    <x v="1"/>
    <n v="63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A02C8F-63ED-400B-A95C-A5A257BE86C6}" name="PivotTable1" cacheId="35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5:B8" firstHeaderRow="1" firstDataRow="1" firstDataCol="1" rowPageCount="1" colPageCount="1"/>
  <pivotFields count="12">
    <pivotField axis="axisPage" numFmtId="22" multipleItemSelectionAllowed="1" showAll="0">
      <items count="5">
        <item m="1" x="2"/>
        <item m="1"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m="1" x="3"/>
        <item m="1" x="2"/>
        <item x="0"/>
        <item x="1"/>
        <item t="default"/>
      </items>
    </pivotField>
    <pivotField showAll="0"/>
  </pivotFields>
  <rowFields count="1">
    <field x="10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Count of LA90_Main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708E8B-0A0E-44B0-9604-C0847E65BC0A}" name="PivotTable1" cacheId="35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5:B8" firstHeaderRow="1" firstDataRow="1" firstDataCol="1" rowPageCount="1" colPageCount="1"/>
  <pivotFields count="12">
    <pivotField axis="axisPage" numFmtId="22" multipleItemSelectionAllowed="1" showAll="0">
      <items count="5">
        <item m="1" x="2"/>
        <item m="1" x="3"/>
        <item x="0"/>
        <item x="1"/>
        <item t="default"/>
      </items>
    </pivotField>
    <pivotField showAll="0"/>
    <pivotField showAll="0"/>
    <pivotField showAll="0"/>
    <pivotField showAll="0"/>
    <pivotField axis="axisRow" dataField="1" showAll="0">
      <items count="5">
        <item m="1" x="3"/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Count of LAmax_Main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861B4-9A60-42D6-B1D2-EE09838E2322}">
  <sheetPr codeName="Sheet9"/>
  <dimension ref="B48:B67"/>
  <sheetViews>
    <sheetView tabSelected="1" workbookViewId="0"/>
  </sheetViews>
  <sheetFormatPr defaultRowHeight="15" x14ac:dyDescent="0.25"/>
  <cols>
    <col min="1" max="1" width="28.5703125" bestFit="1" customWidth="1"/>
    <col min="2" max="2" width="15.85546875" bestFit="1" customWidth="1"/>
  </cols>
  <sheetData>
    <row r="48" spans="2:2" x14ac:dyDescent="0.25">
      <c r="B48" s="4"/>
    </row>
    <row r="49" spans="2:2" x14ac:dyDescent="0.25">
      <c r="B49" s="4"/>
    </row>
    <row r="66" spans="2:2" x14ac:dyDescent="0.25">
      <c r="B66" s="4"/>
    </row>
    <row r="67" spans="2:2" x14ac:dyDescent="0.25">
      <c r="B6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3</xdr:col>
                    <xdr:colOff>38100</xdr:colOff>
                    <xdr:row>1</xdr:row>
                    <xdr:rowOff>38100</xdr:rowOff>
                  </from>
                  <to>
                    <xdr:col>5</xdr:col>
                    <xdr:colOff>542925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3F23-F41D-4B53-B939-57B118172DFD}">
  <sheetPr codeName="Sheet1"/>
  <dimension ref="A1:KZ3"/>
  <sheetViews>
    <sheetView zoomScaleNormal="100" workbookViewId="0"/>
  </sheetViews>
  <sheetFormatPr defaultRowHeight="15" x14ac:dyDescent="0.25"/>
  <cols>
    <col min="1" max="1" width="18.85546875" customWidth="1"/>
    <col min="2" max="2" width="8.140625" bestFit="1" customWidth="1"/>
    <col min="6" max="71" width="9.140625" customWidth="1"/>
    <col min="111" max="112" width="9.140625" customWidth="1"/>
  </cols>
  <sheetData>
    <row r="1" spans="1:312" x14ac:dyDescent="0.25">
      <c r="A1" t="s">
        <v>0</v>
      </c>
      <c r="B1" t="s">
        <v>15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16</v>
      </c>
      <c r="I1" t="s">
        <v>11</v>
      </c>
      <c r="J1" t="s">
        <v>12</v>
      </c>
      <c r="K1" t="s">
        <v>13</v>
      </c>
      <c r="L1" t="s">
        <v>17</v>
      </c>
    </row>
    <row r="2" spans="1:312" x14ac:dyDescent="0.25">
      <c r="A2" s="5">
        <v>43896.572916666664</v>
      </c>
      <c r="B2">
        <v>2</v>
      </c>
      <c r="C2" s="6" t="s">
        <v>14</v>
      </c>
      <c r="D2">
        <v>69.099999999999994</v>
      </c>
      <c r="E2">
        <v>93.9</v>
      </c>
      <c r="F2">
        <v>78.8</v>
      </c>
      <c r="G2">
        <v>60.1</v>
      </c>
      <c r="H2">
        <v>74.8</v>
      </c>
      <c r="I2">
        <v>71.5</v>
      </c>
      <c r="J2">
        <v>68.2</v>
      </c>
      <c r="K2">
        <v>64.7</v>
      </c>
      <c r="L2">
        <v>61.5</v>
      </c>
      <c r="KZ2" s="4"/>
    </row>
    <row r="3" spans="1:312" x14ac:dyDescent="0.25">
      <c r="A3" s="5">
        <v>43896.576388888891</v>
      </c>
      <c r="B3">
        <v>3</v>
      </c>
      <c r="C3" t="s">
        <v>14</v>
      </c>
      <c r="D3">
        <v>69.900000000000006</v>
      </c>
      <c r="E3">
        <v>94.7</v>
      </c>
      <c r="F3">
        <v>79.2</v>
      </c>
      <c r="G3">
        <v>62.5</v>
      </c>
      <c r="H3">
        <v>76.599999999999994</v>
      </c>
      <c r="I3">
        <v>72.400000000000006</v>
      </c>
      <c r="J3">
        <v>69</v>
      </c>
      <c r="K3">
        <v>64.900000000000006</v>
      </c>
      <c r="L3">
        <v>63.3</v>
      </c>
      <c r="KZ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E7DE6-AE55-4921-B2E4-4048BCCCFDDD}">
  <sheetPr codeName="Sheet3"/>
  <dimension ref="A3:B8"/>
  <sheetViews>
    <sheetView workbookViewId="0"/>
  </sheetViews>
  <sheetFormatPr defaultRowHeight="15" x14ac:dyDescent="0.25"/>
  <cols>
    <col min="1" max="1" width="12.5703125" bestFit="1" customWidth="1"/>
    <col min="2" max="2" width="18.42578125" bestFit="1" customWidth="1"/>
  </cols>
  <sheetData>
    <row r="3" spans="1:2" x14ac:dyDescent="0.25">
      <c r="A3" s="1" t="s">
        <v>0</v>
      </c>
      <c r="B3" t="s">
        <v>3</v>
      </c>
    </row>
    <row r="5" spans="1:2" x14ac:dyDescent="0.25">
      <c r="A5" s="1" t="s">
        <v>1</v>
      </c>
      <c r="B5" t="s">
        <v>4</v>
      </c>
    </row>
    <row r="6" spans="1:2" x14ac:dyDescent="0.25">
      <c r="A6" s="3">
        <v>64.7</v>
      </c>
      <c r="B6" s="2">
        <v>1</v>
      </c>
    </row>
    <row r="7" spans="1:2" x14ac:dyDescent="0.25">
      <c r="A7" s="3">
        <v>64.900000000000006</v>
      </c>
      <c r="B7" s="2">
        <v>1</v>
      </c>
    </row>
    <row r="8" spans="1:2" x14ac:dyDescent="0.25">
      <c r="A8" s="3" t="s">
        <v>2</v>
      </c>
      <c r="B8" s="2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13C3-9D58-44D2-8272-C720DF22ABBF}">
  <sheetPr codeName="Sheet4"/>
  <dimension ref="A3:B8"/>
  <sheetViews>
    <sheetView workbookViewId="0"/>
  </sheetViews>
  <sheetFormatPr defaultRowHeight="15" x14ac:dyDescent="0.25"/>
  <cols>
    <col min="1" max="1" width="12.5703125" bestFit="1" customWidth="1"/>
    <col min="2" max="2" width="20" bestFit="1" customWidth="1"/>
    <col min="3" max="3" width="19.28515625" bestFit="1" customWidth="1"/>
  </cols>
  <sheetData>
    <row r="3" spans="1:2" x14ac:dyDescent="0.25">
      <c r="A3" s="1" t="s">
        <v>0</v>
      </c>
      <c r="B3" t="s">
        <v>3</v>
      </c>
    </row>
    <row r="5" spans="1:2" x14ac:dyDescent="0.25">
      <c r="A5" s="1" t="s">
        <v>1</v>
      </c>
      <c r="B5" t="s">
        <v>5</v>
      </c>
    </row>
    <row r="6" spans="1:2" x14ac:dyDescent="0.25">
      <c r="A6" s="3">
        <v>78.8</v>
      </c>
      <c r="B6" s="2">
        <v>1</v>
      </c>
    </row>
    <row r="7" spans="1:2" x14ac:dyDescent="0.25">
      <c r="A7" s="3">
        <v>79.2</v>
      </c>
      <c r="B7" s="2">
        <v>1</v>
      </c>
    </row>
    <row r="8" spans="1:2" x14ac:dyDescent="0.25">
      <c r="A8" s="3" t="s">
        <v>2</v>
      </c>
      <c r="B8" s="2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218B5-446E-4979-A7D2-A8181868A815}">
  <sheetPr codeName="Sheet7"/>
  <dimension ref="A1"/>
  <sheetViews>
    <sheetView workbookViewId="0"/>
  </sheetViews>
  <sheetFormatPr defaultRowHeight="15" x14ac:dyDescent="0.25"/>
  <cols>
    <col min="1" max="1" width="18.855468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64E59-4113-435E-8B44-2883572A751F}">
  <sheetPr codeName="Sheet8"/>
  <dimension ref="A1"/>
  <sheetViews>
    <sheetView workbookViewId="0"/>
  </sheetViews>
  <sheetFormatPr defaultRowHeight="15" x14ac:dyDescent="0.25"/>
  <cols>
    <col min="1" max="1" width="18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C16E-D468-4922-99C0-58BA0D60A2B1}">
  <sheetPr codeName="Sheet2"/>
  <dimension ref="A1"/>
  <sheetViews>
    <sheetView workbookViewId="0"/>
  </sheetViews>
  <sheetFormatPr defaultRowHeight="15" x14ac:dyDescent="0.25"/>
  <cols>
    <col min="1" max="1" width="18.8554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Summary</vt:lpstr>
      <vt:lpstr>Full_Data</vt:lpstr>
      <vt:lpstr>Pivot_L90</vt:lpstr>
      <vt:lpstr>Pivot_Lmax</vt:lpstr>
      <vt:lpstr>Summary_Tables</vt:lpstr>
      <vt:lpstr>Leq_Spectral_Tables</vt:lpstr>
      <vt:lpstr>Lmax_Spectral_Tables</vt:lpstr>
      <vt:lpstr>Graph_LeqLmaxL90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Adrien Vinay</dc:creator>
  <cp:lastModifiedBy>Peter Ling</cp:lastModifiedBy>
  <dcterms:created xsi:type="dcterms:W3CDTF">2015-05-11T11:27:11Z</dcterms:created>
  <dcterms:modified xsi:type="dcterms:W3CDTF">2020-09-22T10:50:23Z</dcterms:modified>
</cp:coreProperties>
</file>